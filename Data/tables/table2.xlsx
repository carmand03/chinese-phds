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and/Desktop/ModernChina_accepted/Armand_Henriot_Tables/"/>
    </mc:Choice>
  </mc:AlternateContent>
  <xr:revisionPtr revIDLastSave="0" documentId="13_ncr:1_{E301E24E-F383-FE4B-A713-FBAF7915C20D}" xr6:coauthVersionLast="47" xr6:coauthVersionMax="47" xr10:uidLastSave="{00000000-0000-0000-0000-000000000000}"/>
  <bookViews>
    <workbookView xWindow="11640" yWindow="3120" windowWidth="17140" windowHeight="14940" xr2:uid="{F7A33EC3-FBBD-4F46-8AA8-1AB01CB3D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 s="1"/>
  <c r="F8" i="1"/>
  <c r="G8" i="1" s="1"/>
  <c r="D8" i="1"/>
  <c r="E8" i="1" s="1"/>
  <c r="B8" i="1"/>
  <c r="C8" i="1" s="1"/>
  <c r="I7" i="1"/>
  <c r="G7" i="1"/>
  <c r="E7" i="1"/>
  <c r="C7" i="1"/>
  <c r="I6" i="1"/>
  <c r="G6" i="1"/>
  <c r="E6" i="1"/>
  <c r="C6" i="1"/>
  <c r="I5" i="1"/>
  <c r="G5" i="1"/>
  <c r="E5" i="1"/>
  <c r="C5" i="1"/>
  <c r="I4" i="1"/>
  <c r="G4" i="1"/>
  <c r="E4" i="1"/>
  <c r="C4" i="1"/>
  <c r="I3" i="1"/>
  <c r="G3" i="1"/>
  <c r="E3" i="1"/>
  <c r="C3" i="1"/>
</calcChain>
</file>

<file path=xl/sharedStrings.xml><?xml version="1.0" encoding="utf-8"?>
<sst xmlns="http://schemas.openxmlformats.org/spreadsheetml/2006/main" count="19" uniqueCount="13">
  <si>
    <t>USA</t>
  </si>
  <si>
    <t>All regions</t>
  </si>
  <si>
    <t>Field</t>
  </si>
  <si>
    <t>Count</t>
  </si>
  <si>
    <t>%</t>
  </si>
  <si>
    <t>Humanities and social sciences</t>
  </si>
  <si>
    <t>Physical and earth sciences</t>
  </si>
  <si>
    <t>Biological sciences</t>
  </si>
  <si>
    <t>Engineering sciences</t>
  </si>
  <si>
    <t>Health sciences</t>
  </si>
  <si>
    <t>Grand Total</t>
  </si>
  <si>
    <t>Continental Europe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</si>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</sst>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9" fontId="1" fillId="0" borderId="7" xfId="1" applyBorder="1"/>
    <xf numFmtId="9" fontId="1" fillId="0" borderId="0" xfId="1" applyBorder="1"/>
    <xf numFmtId="0" fontId="3" fillId="0" borderId="6" xfId="0" applyFont="1" applyBorder="1"/>
    <xf numFmtId="0" fontId="2" fillId="0" borderId="8" xfId="0" applyFont="1" applyBorder="1" applyAlignment="1">
      <alignment horizontal="left"/>
    </xf>
    <xf numFmtId="0" fontId="3" fillId="0" borderId="3" xfId="0" applyFont="1" applyBorder="1"/>
    <xf numFmtId="9" fontId="1" fillId="0" borderId="4" xfId="1" applyFill="1" applyBorder="1"/>
    <xf numFmtId="0" fontId="3" fillId="0" borderId="4" xfId="0" applyFont="1" applyBorder="1"/>
    <xf numFmtId="0" fontId="3" fillId="0" borderId="5" xfId="0" applyFont="1" applyBorder="1"/>
    <xf numFmtId="9" fontId="1" fillId="0" borderId="5" xfId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809B-04E6-DB43-B082-A1B696DA8D99}">
  <dimension ref="A1:I8"/>
  <sheetViews>
    <sheetView tabSelected="1" workbookViewId="0">
      <selection activeCell="A13" sqref="A13"/>
    </sheetView>
  </sheetViews>
  <sheetFormatPr baseColWidth="10" defaultRowHeight="16" x14ac:dyDescent="0.2"/>
  <cols>
    <col min="1" max="1" width="27.33203125" customWidth="1"/>
  </cols>
  <sheetData>
    <row r="1" spans="1:9" x14ac:dyDescent="0.2">
      <c r="B1" s="15" t="s">
        <v>11</v>
      </c>
      <c r="C1" s="16"/>
      <c r="D1" s="15" t="s">
        <v>12</v>
      </c>
      <c r="E1" s="16"/>
      <c r="F1" s="17" t="s">
        <v>0</v>
      </c>
      <c r="G1" s="18"/>
      <c r="H1" s="17" t="s">
        <v>1</v>
      </c>
      <c r="I1" s="18"/>
    </row>
    <row r="2" spans="1:9" x14ac:dyDescent="0.2">
      <c r="A2" s="1" t="s">
        <v>2</v>
      </c>
      <c r="B2" s="1" t="s">
        <v>3</v>
      </c>
      <c r="C2" s="2" t="s">
        <v>4</v>
      </c>
      <c r="D2" s="3" t="s">
        <v>3</v>
      </c>
      <c r="E2" s="2" t="s">
        <v>4</v>
      </c>
      <c r="F2" s="3" t="s">
        <v>3</v>
      </c>
      <c r="G2" s="3" t="s">
        <v>4</v>
      </c>
      <c r="H2" s="1" t="s">
        <v>3</v>
      </c>
      <c r="I2" s="2" t="s">
        <v>4</v>
      </c>
    </row>
    <row r="3" spans="1:9" x14ac:dyDescent="0.2">
      <c r="A3" s="4" t="s">
        <v>5</v>
      </c>
      <c r="B3" s="5">
        <v>688</v>
      </c>
      <c r="C3" s="6">
        <f>B3/1583</f>
        <v>0.43461781427668983</v>
      </c>
      <c r="D3">
        <v>90</v>
      </c>
      <c r="E3" s="6">
        <f>D3/352</f>
        <v>0.25568181818181818</v>
      </c>
      <c r="F3">
        <v>873</v>
      </c>
      <c r="G3" s="7">
        <f>F3/2782</f>
        <v>0.31380301941049604</v>
      </c>
      <c r="H3" s="8">
        <v>1651</v>
      </c>
      <c r="I3" s="6">
        <f>H3/4717</f>
        <v>0.35001059995760014</v>
      </c>
    </row>
    <row r="4" spans="1:9" x14ac:dyDescent="0.2">
      <c r="A4" s="4" t="s">
        <v>6</v>
      </c>
      <c r="B4" s="5">
        <v>273</v>
      </c>
      <c r="C4" s="6">
        <f t="shared" ref="C4:C8" si="0">B4/1583</f>
        <v>0.17245735944409349</v>
      </c>
      <c r="D4">
        <v>121</v>
      </c>
      <c r="E4" s="6">
        <f t="shared" ref="E4:E8" si="1">D4/352</f>
        <v>0.34375</v>
      </c>
      <c r="F4">
        <v>736</v>
      </c>
      <c r="G4" s="7">
        <f t="shared" ref="G4:G8" si="2">F4/2782</f>
        <v>0.26455787203450754</v>
      </c>
      <c r="H4" s="8">
        <v>1130</v>
      </c>
      <c r="I4" s="6">
        <f t="shared" ref="I4:I8" si="3">H4/4717</f>
        <v>0.23955904176383294</v>
      </c>
    </row>
    <row r="5" spans="1:9" x14ac:dyDescent="0.2">
      <c r="A5" s="4" t="s">
        <v>7</v>
      </c>
      <c r="B5" s="5">
        <v>218</v>
      </c>
      <c r="C5" s="6">
        <f t="shared" si="0"/>
        <v>0.13771320277953253</v>
      </c>
      <c r="D5">
        <v>70</v>
      </c>
      <c r="E5" s="6">
        <f t="shared" si="1"/>
        <v>0.19886363636363635</v>
      </c>
      <c r="F5">
        <v>439</v>
      </c>
      <c r="G5" s="7">
        <f t="shared" si="2"/>
        <v>0.15780014378145218</v>
      </c>
      <c r="H5" s="8">
        <v>727</v>
      </c>
      <c r="I5" s="6">
        <f t="shared" si="3"/>
        <v>0.15412338350646598</v>
      </c>
    </row>
    <row r="6" spans="1:9" x14ac:dyDescent="0.2">
      <c r="A6" s="4" t="s">
        <v>8</v>
      </c>
      <c r="B6" s="5">
        <v>75</v>
      </c>
      <c r="C6" s="6">
        <f t="shared" si="0"/>
        <v>4.7378395451674035E-2</v>
      </c>
      <c r="D6">
        <v>57</v>
      </c>
      <c r="E6" s="6">
        <f t="shared" si="1"/>
        <v>0.16193181818181818</v>
      </c>
      <c r="F6">
        <v>585</v>
      </c>
      <c r="G6" s="7">
        <f t="shared" si="2"/>
        <v>0.2102803738317757</v>
      </c>
      <c r="H6" s="8">
        <v>717</v>
      </c>
      <c r="I6" s="6">
        <f t="shared" si="3"/>
        <v>0.15200339198643206</v>
      </c>
    </row>
    <row r="7" spans="1:9" x14ac:dyDescent="0.2">
      <c r="A7" s="4" t="s">
        <v>9</v>
      </c>
      <c r="B7" s="5">
        <v>329</v>
      </c>
      <c r="C7" s="6">
        <f t="shared" si="0"/>
        <v>0.2078332280480101</v>
      </c>
      <c r="D7">
        <v>14</v>
      </c>
      <c r="E7" s="6">
        <f t="shared" si="1"/>
        <v>3.9772727272727272E-2</v>
      </c>
      <c r="F7">
        <v>149</v>
      </c>
      <c r="G7" s="7">
        <f t="shared" si="2"/>
        <v>5.3558590941768514E-2</v>
      </c>
      <c r="H7" s="8">
        <v>492</v>
      </c>
      <c r="I7" s="6">
        <f t="shared" si="3"/>
        <v>0.10430358278566886</v>
      </c>
    </row>
    <row r="8" spans="1:9" x14ac:dyDescent="0.2">
      <c r="A8" s="9" t="s">
        <v>10</v>
      </c>
      <c r="B8" s="10">
        <f>SUM(B3:B7)</f>
        <v>1583</v>
      </c>
      <c r="C8" s="11">
        <f t="shared" si="0"/>
        <v>1</v>
      </c>
      <c r="D8" s="12">
        <f>SUM(D3:D7)</f>
        <v>352</v>
      </c>
      <c r="E8" s="11">
        <f t="shared" si="1"/>
        <v>1</v>
      </c>
      <c r="F8" s="13">
        <f>SUM(F3:F7)</f>
        <v>2782</v>
      </c>
      <c r="G8" s="14">
        <f t="shared" si="2"/>
        <v>1</v>
      </c>
      <c r="H8" s="10">
        <f>SUM(H3:H7)</f>
        <v>4717</v>
      </c>
      <c r="I8" s="11">
        <f t="shared" si="3"/>
        <v>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cécile armand</dc:creator>
  <cp:lastModifiedBy>cécile armand</cp:lastModifiedBy>
  <dcterms:created xsi:type="dcterms:W3CDTF">2025-11-29T17:10:18Z</dcterms:created>
  <dcterms:modified xsi:type="dcterms:W3CDTF">2026-05-10T12:24:26Z</dcterms:modified>
</cp:coreProperties>
</file>